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投資控管表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<sst xmlns="http://schemas.openxmlformats.org/spreadsheetml/2006/main" count="43" uniqueCount="36">
  <si>
    <t xml:space="preserve">投資組合控管表</t>
  </si>
  <si>
    <t xml:space="preserve">投資總額</t>
  </si>
  <si>
    <t xml:space="preserve">（請輸入實際總資金，藍色儲存格可修改）</t>
  </si>
  <si>
    <t xml:space="preserve">#</t>
  </si>
  <si>
    <t xml:space="preserve">投資分類</t>
  </si>
  <si>
    <t xml:space="preserve">投資對象</t>
  </si>
  <si>
    <t xml:space="preserve">建議比重</t>
  </si>
  <si>
    <r>
      <rPr>
        <b val="true"/>
        <sz val="10"/>
        <color rgb="FFFFFFFF"/>
        <rFont val="DejaVu Sans"/>
        <family val="2"/>
      </rPr>
      <t xml:space="preserve">建議投資金額
</t>
    </r>
    <r>
      <rPr>
        <b val="true"/>
        <sz val="10"/>
        <color rgb="FFFFFFFF"/>
        <rFont val="Arial"/>
        <family val="0"/>
        <charset val="1"/>
      </rPr>
      <t xml:space="preserve">(NT$)</t>
    </r>
  </si>
  <si>
    <r>
      <rPr>
        <b val="true"/>
        <sz val="10"/>
        <color rgb="FFFFFFFF"/>
        <rFont val="DejaVu Sans"/>
        <family val="2"/>
      </rPr>
      <t xml:space="preserve">實際投資金額
</t>
    </r>
    <r>
      <rPr>
        <b val="true"/>
        <sz val="10"/>
        <color rgb="FFFFFFFF"/>
        <rFont val="Arial"/>
        <family val="0"/>
        <charset val="1"/>
      </rPr>
      <t xml:space="preserve">(NT$)</t>
    </r>
  </si>
  <si>
    <t xml:space="preserve">實際比重</t>
  </si>
  <si>
    <r>
      <rPr>
        <b val="true"/>
        <sz val="10"/>
        <color rgb="FFFFFFFF"/>
        <rFont val="DejaVu Sans"/>
        <family val="2"/>
      </rPr>
      <t xml:space="preserve">差異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實際－建議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</si>
  <si>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備註</t>
  </si>
  <si>
    <r>
      <rPr>
        <b val="true"/>
        <sz val="10"/>
        <color rgb="FFFFFFFF"/>
        <rFont val="Arial"/>
        <family val="0"/>
        <charset val="1"/>
      </rPr>
      <t xml:space="preserve">A</t>
    </r>
    <r>
      <rPr>
        <b val="true"/>
        <sz val="10"/>
        <color rgb="FFFFFFFF"/>
        <rFont val="DejaVu Sans"/>
        <family val="2"/>
      </rPr>
      <t xml:space="preserve">｜核心壓艙 </t>
    </r>
    <r>
      <rPr>
        <b val="true"/>
        <sz val="10"/>
        <color rgb="FFFFFFFF"/>
        <rFont val="Arial"/>
        <family val="0"/>
        <charset val="1"/>
      </rPr>
      <t xml:space="preserve">35%</t>
    </r>
  </si>
  <si>
    <t xml:space="preserve">A</t>
  </si>
  <si>
    <r>
      <rPr>
        <sz val="10"/>
        <color rgb="FF000000"/>
        <rFont val="DejaVu Sans"/>
        <family val="2"/>
      </rPr>
      <t xml:space="preserve">元大台灣</t>
    </r>
    <r>
      <rPr>
        <sz val="10"/>
        <color rgb="FF000000"/>
        <rFont val="Arial"/>
        <family val="0"/>
        <charset val="1"/>
      </rPr>
      <t xml:space="preserve">50 ETF</t>
    </r>
    <r>
      <rPr>
        <sz val="10"/>
        <color rgb="FF000000"/>
        <rFont val="DejaVu Sans"/>
        <family val="2"/>
      </rPr>
      <t xml:space="preserve">連結基金（不配息）</t>
    </r>
  </si>
  <si>
    <r>
      <rPr>
        <sz val="10"/>
        <color rgb="FF000000"/>
        <rFont val="DejaVu Sans"/>
        <family val="2"/>
      </rPr>
      <t xml:space="preserve">元大標普</t>
    </r>
    <r>
      <rPr>
        <sz val="10"/>
        <color rgb="FF000000"/>
        <rFont val="Arial"/>
        <family val="0"/>
        <charset val="1"/>
      </rPr>
      <t xml:space="preserve">500 ETF</t>
    </r>
    <r>
      <rPr>
        <sz val="10"/>
        <color rgb="FF000000"/>
        <rFont val="DejaVu Sans"/>
        <family val="2"/>
      </rPr>
      <t xml:space="preserve">連結基金（不配息）</t>
    </r>
  </si>
  <si>
    <r>
      <rPr>
        <sz val="10"/>
        <color rgb="FF000000"/>
        <rFont val="DejaVu Sans"/>
        <family val="2"/>
      </rPr>
      <t xml:space="preserve">元大全球</t>
    </r>
    <r>
      <rPr>
        <sz val="10"/>
        <color rgb="FF000000"/>
        <rFont val="Arial"/>
        <family val="0"/>
        <charset val="1"/>
      </rPr>
      <t xml:space="preserve">ETF</t>
    </r>
    <r>
      <rPr>
        <sz val="10"/>
        <color rgb="FF000000"/>
        <rFont val="DejaVu Sans"/>
        <family val="2"/>
      </rPr>
      <t xml:space="preserve">穩健組合（不配息）</t>
    </r>
  </si>
  <si>
    <r>
      <rPr>
        <b val="true"/>
        <sz val="10"/>
        <color rgb="FFFFFFFF"/>
        <rFont val="Arial"/>
        <family val="0"/>
        <charset val="1"/>
      </rPr>
      <t xml:space="preserve">B</t>
    </r>
    <r>
      <rPr>
        <b val="true"/>
        <sz val="10"/>
        <color rgb="FFFFFFFF"/>
        <rFont val="DejaVu Sans"/>
        <family val="2"/>
      </rPr>
      <t xml:space="preserve">｜主動成長 </t>
    </r>
    <r>
      <rPr>
        <b val="true"/>
        <sz val="10"/>
        <color rgb="FFFFFFFF"/>
        <rFont val="Arial"/>
        <family val="0"/>
        <charset val="1"/>
      </rPr>
      <t xml:space="preserve">35%</t>
    </r>
  </si>
  <si>
    <t xml:space="preserve">B</t>
  </si>
  <si>
    <r>
      <rPr>
        <sz val="10"/>
        <color rgb="FF000000"/>
        <rFont val="Arial"/>
        <family val="0"/>
        <charset val="1"/>
      </rPr>
      <t xml:space="preserve">00935 </t>
    </r>
    <r>
      <rPr>
        <sz val="10"/>
        <color rgb="FF000000"/>
        <rFont val="DejaVu Sans"/>
        <family val="2"/>
      </rPr>
      <t xml:space="preserve">野村台灣新科技</t>
    </r>
    <r>
      <rPr>
        <sz val="10"/>
        <color rgb="FF000000"/>
        <rFont val="Arial"/>
        <family val="0"/>
        <charset val="1"/>
      </rPr>
      <t xml:space="preserve">50 ETF</t>
    </r>
  </si>
  <si>
    <r>
      <rPr>
        <sz val="10"/>
        <color rgb="FF000000"/>
        <rFont val="Arial"/>
        <family val="0"/>
        <charset val="1"/>
      </rPr>
      <t xml:space="preserve">00981A </t>
    </r>
    <r>
      <rPr>
        <sz val="10"/>
        <color rgb="FF000000"/>
        <rFont val="DejaVu Sans"/>
        <family val="2"/>
      </rPr>
      <t xml:space="preserve">統一台股增長主動</t>
    </r>
    <r>
      <rPr>
        <sz val="10"/>
        <color rgb="FF000000"/>
        <rFont val="Arial"/>
        <family val="0"/>
        <charset val="1"/>
      </rPr>
      <t xml:space="preserve">ETF</t>
    </r>
  </si>
  <si>
    <r>
      <rPr>
        <sz val="10"/>
        <color rgb="FF000000"/>
        <rFont val="Arial"/>
        <family val="0"/>
        <charset val="1"/>
      </rPr>
      <t xml:space="preserve">009820 </t>
    </r>
    <r>
      <rPr>
        <sz val="10"/>
        <color rgb="FF000000"/>
        <rFont val="DejaVu Sans"/>
        <family val="2"/>
      </rPr>
      <t xml:space="preserve">元大納斯達克精選</t>
    </r>
    <r>
      <rPr>
        <sz val="10"/>
        <color rgb="FF000000"/>
        <rFont val="Arial"/>
        <family val="0"/>
        <charset val="1"/>
      </rPr>
      <t xml:space="preserve">ETF</t>
    </r>
  </si>
  <si>
    <r>
      <rPr>
        <b val="true"/>
        <sz val="10"/>
        <color rgb="FFFFFFFF"/>
        <rFont val="Arial"/>
        <family val="0"/>
        <charset val="1"/>
      </rPr>
      <t xml:space="preserve">C</t>
    </r>
    <r>
      <rPr>
        <b val="true"/>
        <sz val="10"/>
        <color rgb="FFFFFFFF"/>
        <rFont val="DejaVu Sans"/>
        <family val="2"/>
      </rPr>
      <t xml:space="preserve">｜防禦收益 </t>
    </r>
    <r>
      <rPr>
        <b val="true"/>
        <sz val="10"/>
        <color rgb="FFFFFFFF"/>
        <rFont val="Arial"/>
        <family val="0"/>
        <charset val="1"/>
      </rPr>
      <t xml:space="preserve">12%</t>
    </r>
  </si>
  <si>
    <t xml:space="preserve">C</t>
  </si>
  <si>
    <r>
      <rPr>
        <sz val="10"/>
        <color rgb="FF000000"/>
        <rFont val="Arial"/>
        <family val="0"/>
        <charset val="1"/>
      </rPr>
      <t xml:space="preserve">00713 </t>
    </r>
    <r>
      <rPr>
        <sz val="10"/>
        <color rgb="FF000000"/>
        <rFont val="DejaVu Sans"/>
        <family val="2"/>
      </rPr>
      <t xml:space="preserve">元大台灣高息低波</t>
    </r>
    <r>
      <rPr>
        <sz val="10"/>
        <color rgb="FF000000"/>
        <rFont val="Arial"/>
        <family val="0"/>
        <charset val="1"/>
      </rPr>
      <t xml:space="preserve">ETF</t>
    </r>
  </si>
  <si>
    <r>
      <rPr>
        <sz val="10"/>
        <color rgb="FF000000"/>
        <rFont val="DejaVu Sans"/>
        <family val="2"/>
      </rPr>
      <t xml:space="preserve">和泰車（</t>
    </r>
    <r>
      <rPr>
        <sz val="10"/>
        <color rgb="FF000000"/>
        <rFont val="Arial"/>
        <family val="0"/>
        <charset val="1"/>
      </rPr>
      <t xml:space="preserve">2207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</si>
  <si>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00635U </t>
    </r>
    <r>
      <rPr>
        <sz val="10"/>
        <color rgb="FF000000"/>
        <rFont val="DejaVu Sans"/>
        <family val="2"/>
      </rPr>
      <t xml:space="preserve">元大</t>
    </r>
    <r>
      <rPr>
        <sz val="10"/>
        <color rgb="FF000000"/>
        <rFont val="Arial"/>
        <family val="0"/>
        <charset val="1"/>
      </rPr>
      <t xml:space="preserve">S&amp;P</t>
    </r>
    <r>
      <rPr>
        <sz val="10"/>
        <color rgb="FF000000"/>
        <rFont val="DejaVu Sans"/>
        <family val="2"/>
      </rPr>
      <t xml:space="preserve">黃金</t>
    </r>
    <r>
      <rPr>
        <sz val="10"/>
        <color rgb="FF000000"/>
        <rFont val="Arial"/>
        <family val="0"/>
        <charset val="1"/>
      </rPr>
      <t xml:space="preserve">ETF</t>
    </r>
  </si>
  <si>
    <r>
      <rPr>
        <b val="true"/>
        <sz val="10"/>
        <color rgb="FFFFFFFF"/>
        <rFont val="Arial"/>
        <family val="0"/>
        <charset val="1"/>
      </rPr>
      <t xml:space="preserve">D</t>
    </r>
    <r>
      <rPr>
        <b val="true"/>
        <sz val="10"/>
        <color rgb="FFFFFFFF"/>
        <rFont val="DejaVu Sans"/>
        <family val="2"/>
      </rPr>
      <t xml:space="preserve">｜衛星主題 </t>
    </r>
    <r>
      <rPr>
        <b val="true"/>
        <sz val="10"/>
        <color rgb="FFFFFFFF"/>
        <rFont val="Arial"/>
        <family val="0"/>
        <charset val="1"/>
      </rPr>
      <t xml:space="preserve">8%</t>
    </r>
  </si>
  <si>
    <t xml:space="preserve">D</t>
  </si>
  <si>
    <t xml:space="preserve">瀚亞印度基金（台幣累積型）</t>
  </si>
  <si>
    <r>
      <rPr>
        <sz val="10"/>
        <color rgb="FF000000"/>
        <rFont val="Arial"/>
        <family val="0"/>
        <charset val="1"/>
      </rPr>
      <t xml:space="preserve">009819 </t>
    </r>
    <r>
      <rPr>
        <sz val="10"/>
        <color rgb="FF000000"/>
        <rFont val="DejaVu Sans"/>
        <family val="2"/>
      </rPr>
      <t xml:space="preserve">中信數據及電力</t>
    </r>
    <r>
      <rPr>
        <sz val="10"/>
        <color rgb="FF000000"/>
        <rFont val="Arial"/>
        <family val="0"/>
        <charset val="1"/>
      </rPr>
      <t xml:space="preserve">ETF</t>
    </r>
  </si>
  <si>
    <r>
      <rPr>
        <b val="true"/>
        <sz val="10"/>
        <color rgb="FFFFFFFF"/>
        <rFont val="Arial"/>
        <family val="0"/>
        <charset val="1"/>
      </rPr>
      <t xml:space="preserve">E</t>
    </r>
    <r>
      <rPr>
        <b val="true"/>
        <sz val="10"/>
        <color rgb="FFFFFFFF"/>
        <rFont val="DejaVu Sans"/>
        <family val="2"/>
      </rPr>
      <t xml:space="preserve">｜現金待機 </t>
    </r>
    <r>
      <rPr>
        <b val="true"/>
        <sz val="10"/>
        <color rgb="FFFFFFFF"/>
        <rFont val="Arial"/>
        <family val="0"/>
        <charset val="1"/>
      </rPr>
      <t xml:space="preserve">10%</t>
    </r>
  </si>
  <si>
    <t xml:space="preserve">E</t>
  </si>
  <si>
    <t xml:space="preserve">活存／短期定存</t>
  </si>
  <si>
    <t xml:space="preserve">合　計</t>
  </si>
  <si>
    <r>
      <rPr>
        <i val="true"/>
        <sz val="10"/>
        <color rgb="FF555555"/>
        <rFont val="DejaVu Sans"/>
        <family val="2"/>
      </rPr>
      <t xml:space="preserve">【說明】藍色儲存格 </t>
    </r>
    <r>
      <rPr>
        <i val="true"/>
        <sz val="10"/>
        <color rgb="FF555555"/>
        <rFont val="Arial"/>
        <family val="0"/>
        <charset val="1"/>
      </rPr>
      <t xml:space="preserve">= </t>
    </r>
    <r>
      <rPr>
        <i val="true"/>
        <sz val="10"/>
        <color rgb="FF555555"/>
        <rFont val="DejaVu Sans"/>
        <family val="2"/>
      </rPr>
      <t xml:space="preserve">可輸入修改（建議比重、實際投資金額、備註）；黑色 </t>
    </r>
    <r>
      <rPr>
        <i val="true"/>
        <sz val="10"/>
        <color rgb="FF555555"/>
        <rFont val="Arial"/>
        <family val="0"/>
        <charset val="1"/>
      </rPr>
      <t xml:space="preserve">= </t>
    </r>
    <r>
      <rPr>
        <i val="true"/>
        <sz val="10"/>
        <color rgb="FF555555"/>
        <rFont val="DejaVu Sans"/>
        <family val="2"/>
      </rPr>
      <t xml:space="preserve">公式自動計算；差異欄顯示實際比重與建議比重之差距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</si>
</sst>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%;\(0.0%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b val="true"/>
      <sz val="10"/>
      <color rgb="FF000000"/>
      <name val="DejaVu Sans"/>
      <family val="2"/>
    </font>
    <font>
      <b val="true"/>
      <sz val="11"/>
      <color rgb="FF0000FF"/>
      <name val="Arial"/>
      <family val="0"/>
      <charset val="1"/>
    </font>
    <font>
      <i val="true"/>
      <sz val="10"/>
      <color rgb="FF888888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DejaVu Sans"/>
      <family val="2"/>
    </font>
    <font>
      <b val="true"/>
      <sz val="10"/>
      <color rgb="FF000000"/>
      <name val="Arial"/>
      <family val="0"/>
      <charset val="1"/>
    </font>
    <font>
      <i val="true"/>
      <sz val="10"/>
      <color rgb="FF555555"/>
      <name val="DejaVu Sans"/>
      <family val="2"/>
    </font>
    <font>
      <i val="true"/>
      <sz val="10"/>
      <color rgb="FF5555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F4F4F"/>
      </patternFill>
    </fill>
    <fill>
      <patternFill patternType="solid">
        <fgColor rgb="FFF2F2F2"/>
        <bgColor rgb="FFFFFFFF"/>
      </patternFill>
    </fill>
    <fill>
      <patternFill patternType="solid">
        <fgColor rgb="FF2F4F4F"/>
        <bgColor rgb="FF1F3864"/>
      </patternFill>
    </fill>
    <fill>
      <patternFill patternType="solid">
        <fgColor rgb="FF4A7C59"/>
        <bgColor rgb="FF555555"/>
      </patternFill>
    </fill>
    <fill>
      <patternFill patternType="solid">
        <fgColor rgb="FFD9D9D9"/>
        <bgColor rgb="FFC6EFC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4A7C59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6" min="5" style="0" width="18"/>
    <col collapsed="false" customWidth="true" hidden="false" outlineLevel="0" max="8" min="7" style="0" width="13"/>
    <col collapsed="false" customWidth="true" hidden="false" outlineLevel="0" max="9" min="9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3" t="n">
        <v>20000000</v>
      </c>
      <c r="D2" s="4" t="s">
        <v>2</v>
      </c>
      <c r="E2" s="4"/>
      <c r="F2" s="4"/>
      <c r="G2" s="4"/>
      <c r="H2" s="4"/>
      <c r="I2" s="4"/>
    </row>
    <row r="3" customFormat="false" ht="36" hidden="false" customHeight="true" outlineLevel="0" collapsed="false">
      <c r="A3" s="5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</row>
    <row r="4" customFormat="false" ht="18" hidden="false" customHeight="true" outlineLevel="0" collapsed="false">
      <c r="A4" s="7" t="s">
        <v>12</v>
      </c>
      <c r="B4" s="7"/>
      <c r="C4" s="7"/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8" t="n">
        <v>1</v>
      </c>
      <c r="B5" s="9" t="s">
        <v>13</v>
      </c>
      <c r="C5" s="10" t="s">
        <v>14</v>
      </c>
      <c r="D5" s="11" t="n">
        <v>0.12</v>
      </c>
      <c r="E5" s="12" t="n">
        <f aca="false">$C2*D5</f>
        <v>2400000</v>
      </c>
      <c r="F5" s="13" t="n">
        <v>0</v>
      </c>
      <c r="G5" s="14" t="n">
        <f aca="false">IF($C2=0,0,F5/$C2)</f>
        <v>0</v>
      </c>
      <c r="H5" s="15" t="n">
        <f aca="false">G5-D5</f>
        <v>-0.12</v>
      </c>
      <c r="I5" s="16"/>
    </row>
    <row r="6" customFormat="false" ht="21.75" hidden="false" customHeight="true" outlineLevel="0" collapsed="false">
      <c r="A6" s="8" t="n">
        <v>2</v>
      </c>
      <c r="B6" s="9" t="s">
        <v>13</v>
      </c>
      <c r="C6" s="10" t="s">
        <v>15</v>
      </c>
      <c r="D6" s="11" t="n">
        <v>0.13</v>
      </c>
      <c r="E6" s="12" t="n">
        <f aca="false">$C2*D6</f>
        <v>2600000</v>
      </c>
      <c r="F6" s="13" t="n">
        <v>0</v>
      </c>
      <c r="G6" s="14" t="n">
        <f aca="false">IF($C2=0,0,F6/$C2)</f>
        <v>0</v>
      </c>
      <c r="H6" s="15" t="n">
        <f aca="false">G6-D6</f>
        <v>-0.13</v>
      </c>
      <c r="I6" s="16"/>
    </row>
    <row r="7" customFormat="false" ht="21.75" hidden="false" customHeight="true" outlineLevel="0" collapsed="false">
      <c r="A7" s="8" t="n">
        <v>3</v>
      </c>
      <c r="B7" s="9" t="s">
        <v>13</v>
      </c>
      <c r="C7" s="10" t="s">
        <v>16</v>
      </c>
      <c r="D7" s="11" t="n">
        <v>0.1</v>
      </c>
      <c r="E7" s="12" t="n">
        <f aca="false">$C2*D7</f>
        <v>2000000</v>
      </c>
      <c r="F7" s="13" t="n">
        <v>0</v>
      </c>
      <c r="G7" s="14" t="n">
        <f aca="false">IF($C2=0,0,F7/$C2)</f>
        <v>0</v>
      </c>
      <c r="H7" s="15" t="n">
        <f aca="false">G7-D7</f>
        <v>-0.1</v>
      </c>
      <c r="I7" s="16"/>
    </row>
    <row r="8" customFormat="false" ht="18" hidden="false" customHeight="true" outlineLevel="0" collapsed="false">
      <c r="A8" s="7" t="s">
        <v>17</v>
      </c>
      <c r="B8" s="7"/>
      <c r="C8" s="7"/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8" t="n">
        <v>4</v>
      </c>
      <c r="B9" s="9" t="s">
        <v>18</v>
      </c>
      <c r="C9" s="17" t="s">
        <v>19</v>
      </c>
      <c r="D9" s="11" t="n">
        <v>0.1</v>
      </c>
      <c r="E9" s="12" t="n">
        <f aca="false">$C2*D9</f>
        <v>2000000</v>
      </c>
      <c r="F9" s="13" t="n">
        <v>0</v>
      </c>
      <c r="G9" s="14" t="n">
        <f aca="false">IF($C2=0,0,F9/$C2)</f>
        <v>0</v>
      </c>
      <c r="H9" s="15" t="n">
        <f aca="false">G9-D9</f>
        <v>-0.1</v>
      </c>
      <c r="I9" s="16"/>
    </row>
    <row r="10" customFormat="false" ht="21.75" hidden="false" customHeight="true" outlineLevel="0" collapsed="false">
      <c r="A10" s="8" t="n">
        <v>5</v>
      </c>
      <c r="B10" s="9" t="s">
        <v>18</v>
      </c>
      <c r="C10" s="17" t="s">
        <v>20</v>
      </c>
      <c r="D10" s="11" t="n">
        <v>0.12</v>
      </c>
      <c r="E10" s="12" t="n">
        <f aca="false">$C2*D10</f>
        <v>2400000</v>
      </c>
      <c r="F10" s="13" t="n">
        <v>0</v>
      </c>
      <c r="G10" s="14" t="n">
        <f aca="false">IF($C2=0,0,F10/$C2)</f>
        <v>0</v>
      </c>
      <c r="H10" s="15" t="n">
        <f aca="false">G10-D10</f>
        <v>-0.12</v>
      </c>
      <c r="I10" s="16"/>
    </row>
    <row r="11" customFormat="false" ht="21.75" hidden="false" customHeight="true" outlineLevel="0" collapsed="false">
      <c r="A11" s="8" t="n">
        <v>6</v>
      </c>
      <c r="B11" s="9" t="s">
        <v>18</v>
      </c>
      <c r="C11" s="17" t="s">
        <v>21</v>
      </c>
      <c r="D11" s="11" t="n">
        <v>0.13</v>
      </c>
      <c r="E11" s="12" t="n">
        <f aca="false">$C2*D11</f>
        <v>2600000</v>
      </c>
      <c r="F11" s="13" t="n">
        <v>0</v>
      </c>
      <c r="G11" s="14" t="n">
        <f aca="false">IF($C2=0,0,F11/$C2)</f>
        <v>0</v>
      </c>
      <c r="H11" s="15" t="n">
        <f aca="false">G11-D11</f>
        <v>-0.13</v>
      </c>
      <c r="I11" s="16"/>
    </row>
    <row r="12" customFormat="false" ht="18" hidden="false" customHeight="true" outlineLevel="0" collapsed="false">
      <c r="A12" s="7" t="s">
        <v>22</v>
      </c>
      <c r="B12" s="7"/>
      <c r="C12" s="7"/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8" t="n">
        <v>7</v>
      </c>
      <c r="B13" s="9" t="s">
        <v>23</v>
      </c>
      <c r="C13" s="17" t="s">
        <v>24</v>
      </c>
      <c r="D13" s="11" t="n">
        <v>0.07</v>
      </c>
      <c r="E13" s="12" t="n">
        <f aca="false">$C2*D13</f>
        <v>1400000</v>
      </c>
      <c r="F13" s="13" t="n">
        <v>0</v>
      </c>
      <c r="G13" s="14" t="n">
        <f aca="false">IF($C2=0,0,F13/$C2)</f>
        <v>0</v>
      </c>
      <c r="H13" s="15" t="n">
        <f aca="false">G13-D13</f>
        <v>-0.07</v>
      </c>
      <c r="I13" s="16"/>
    </row>
    <row r="14" customFormat="false" ht="21.75" hidden="false" customHeight="true" outlineLevel="0" collapsed="false">
      <c r="A14" s="8" t="n">
        <v>8</v>
      </c>
      <c r="B14" s="9" t="s">
        <v>23</v>
      </c>
      <c r="C14" s="10" t="s">
        <v>25</v>
      </c>
      <c r="D14" s="11" t="n">
        <v>0.02</v>
      </c>
      <c r="E14" s="12" t="n">
        <f aca="false">$C2*D14</f>
        <v>400000</v>
      </c>
      <c r="F14" s="13" t="n">
        <v>0</v>
      </c>
      <c r="G14" s="14" t="n">
        <f aca="false">IF($C2=0,0,F14/$C2)</f>
        <v>0</v>
      </c>
      <c r="H14" s="15" t="n">
        <f aca="false">G14-D14</f>
        <v>-0.02</v>
      </c>
      <c r="I14" s="16"/>
    </row>
    <row r="15" customFormat="false" ht="21.75" hidden="false" customHeight="true" outlineLevel="0" collapsed="false">
      <c r="A15" s="8" t="n">
        <v>9</v>
      </c>
      <c r="B15" s="9" t="s">
        <v>23</v>
      </c>
      <c r="C15" s="17" t="s">
        <v>26</v>
      </c>
      <c r="D15" s="11" t="n">
        <v>0.03</v>
      </c>
      <c r="E15" s="12" t="n">
        <f aca="false">$C2*D15</f>
        <v>600000</v>
      </c>
      <c r="F15" s="13" t="n">
        <v>0</v>
      </c>
      <c r="G15" s="14" t="n">
        <f aca="false">IF($C2=0,0,F15/$C2)</f>
        <v>0</v>
      </c>
      <c r="H15" s="15" t="n">
        <f aca="false">G15-D15</f>
        <v>-0.03</v>
      </c>
      <c r="I15" s="16"/>
    </row>
    <row r="16" customFormat="false" ht="18" hidden="false" customHeight="true" outlineLevel="0" collapsed="false">
      <c r="A16" s="7" t="s">
        <v>27</v>
      </c>
      <c r="B16" s="7"/>
      <c r="C16" s="7"/>
      <c r="D16" s="7"/>
      <c r="E16" s="7"/>
      <c r="F16" s="7"/>
      <c r="G16" s="7"/>
      <c r="H16" s="7"/>
      <c r="I16" s="7"/>
    </row>
    <row r="17" customFormat="false" ht="21.75" hidden="false" customHeight="true" outlineLevel="0" collapsed="false">
      <c r="A17" s="8" t="n">
        <v>10</v>
      </c>
      <c r="B17" s="9" t="s">
        <v>28</v>
      </c>
      <c r="C17" s="10" t="s">
        <v>29</v>
      </c>
      <c r="D17" s="11" t="n">
        <v>0.04</v>
      </c>
      <c r="E17" s="12" t="n">
        <f aca="false">$C2*D17</f>
        <v>800000</v>
      </c>
      <c r="F17" s="13" t="n">
        <v>0</v>
      </c>
      <c r="G17" s="14" t="n">
        <f aca="false">IF($C2=0,0,F17/$C2)</f>
        <v>0</v>
      </c>
      <c r="H17" s="15" t="n">
        <f aca="false">G17-D17</f>
        <v>-0.04</v>
      </c>
      <c r="I17" s="16"/>
    </row>
    <row r="18" customFormat="false" ht="21.75" hidden="false" customHeight="true" outlineLevel="0" collapsed="false">
      <c r="A18" s="8" t="n">
        <v>11</v>
      </c>
      <c r="B18" s="9" t="s">
        <v>28</v>
      </c>
      <c r="C18" s="17" t="s">
        <v>30</v>
      </c>
      <c r="D18" s="11" t="n">
        <v>0.04</v>
      </c>
      <c r="E18" s="12" t="n">
        <f aca="false">$C2*D18</f>
        <v>800000</v>
      </c>
      <c r="F18" s="13" t="n">
        <v>0</v>
      </c>
      <c r="G18" s="14" t="n">
        <f aca="false">IF($C2=0,0,F18/$C2)</f>
        <v>0</v>
      </c>
      <c r="H18" s="15" t="n">
        <f aca="false">G18-D18</f>
        <v>-0.04</v>
      </c>
      <c r="I18" s="16"/>
    </row>
    <row r="19" customFormat="false" ht="18" hidden="false" customHeight="true" outlineLevel="0" collapsed="false">
      <c r="A19" s="7" t="s">
        <v>31</v>
      </c>
      <c r="B19" s="7"/>
      <c r="C19" s="7"/>
      <c r="D19" s="7"/>
      <c r="E19" s="7"/>
      <c r="F19" s="7"/>
      <c r="G19" s="7"/>
      <c r="H19" s="7"/>
      <c r="I19" s="7"/>
    </row>
    <row r="20" customFormat="false" ht="21.75" hidden="false" customHeight="true" outlineLevel="0" collapsed="false">
      <c r="A20" s="8" t="n">
        <v>12</v>
      </c>
      <c r="B20" s="9" t="s">
        <v>32</v>
      </c>
      <c r="C20" s="10" t="s">
        <v>33</v>
      </c>
      <c r="D20" s="11" t="n">
        <v>0.1</v>
      </c>
      <c r="E20" s="12" t="n">
        <f aca="false">$C2*D20</f>
        <v>2000000</v>
      </c>
      <c r="F20" s="13" t="n">
        <v>0</v>
      </c>
      <c r="G20" s="14" t="n">
        <f aca="false">IF($C2=0,0,F20/$C2)</f>
        <v>0</v>
      </c>
      <c r="H20" s="15" t="n">
        <f aca="false">G20-D20</f>
        <v>-0.1</v>
      </c>
      <c r="I20" s="16"/>
    </row>
    <row r="21" customFormat="false" ht="21.75" hidden="false" customHeight="true" outlineLevel="0" collapsed="false">
      <c r="A21" s="18" t="s">
        <v>34</v>
      </c>
      <c r="B21" s="18"/>
      <c r="C21" s="18"/>
      <c r="D21" s="19" t="n">
        <f aca="false">SUM(D5,D6,D7,D9,D10,D11,D13,D14,D15,D17,D18,D20)</f>
        <v>1</v>
      </c>
      <c r="E21" s="20" t="n">
        <f aca="false">SUM(E5,E6,E7,E9,E10,E11,E13,E14,E15,E17,E18,E20)</f>
        <v>20000000</v>
      </c>
      <c r="F21" s="20" t="n">
        <f aca="false">SUM(F5,F6,F7,F9,F10,F11,F13,F14,F15,F17,F18,F20)</f>
        <v>0</v>
      </c>
      <c r="G21" s="19" t="n">
        <f aca="false">SUM(G5,G6,G7,G9,G10,G11,G13,G14,G15,G17,G18,G20)</f>
        <v>0</v>
      </c>
      <c r="H21" s="21" t="n">
        <f aca="false">G21-D21</f>
        <v>-1</v>
      </c>
      <c r="I21" s="22"/>
    </row>
    <row r="23" customFormat="false" ht="18" hidden="false" customHeight="true" outlineLevel="0" collapsed="false">
      <c r="A23" s="23" t="s">
        <v>35</v>
      </c>
      <c r="B23" s="23"/>
      <c r="C23" s="23"/>
      <c r="D23" s="23"/>
      <c r="E23" s="23"/>
      <c r="F23" s="23"/>
      <c r="G23" s="23"/>
      <c r="H23" s="23"/>
      <c r="I23" s="23"/>
    </row>
  </sheetData>
  <mergeCells count="10">
    <mergeCell ref="A1:I1"/>
    <mergeCell ref="A2:B2"/>
    <mergeCell ref="D2:I2"/>
    <mergeCell ref="A4:I4"/>
    <mergeCell ref="A8:I8"/>
    <mergeCell ref="A12:I12"/>
    <mergeCell ref="A16:I16"/>
    <mergeCell ref="A19:I19"/>
    <mergeCell ref="A21:C21"/>
    <mergeCell ref="A23:I23"/>
  </mergeCells>
  <conditionalFormatting sqref="H4:H20">
    <cfRule type="cellIs" priority="2" operator="greaterThan" aboveAverage="0" equalAverage="0" bottom="0" percent="0" rank="0" text="" dxfId="0">
      <formula>0.005</formula>
    </cfRule>
    <cfRule type="cellIs" priority="3" operator="lessThan" aboveAverage="0" equalAverage="0" bottom="0" percent="0" rank="0" text="" dxfId="1">
      <formula>-0.005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2026-06-08T09:38:14Z</dcterms:created>
  <dc:creator>openpyxl</dc:creator>
  <dc:description/>
  <dc:language>en-US</dc:language>
  <cp:lastModifiedBy/>
  <dcterms:modified xsi:type="dcterms:W3CDTF">2026-06-08T09:38:14Z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