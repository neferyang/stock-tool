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住宿" sheetId="2" state="visible" r:id="rId4"/>
    <sheet name="機票交通" sheetId="3" state="visible" r:id="rId5"/>
    <sheet name="預算" sheetId="4" state="visible" r:id="rId6"/>
    <sheet name="使用說明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<sst xmlns="http://schemas.openxmlformats.org/spreadsheetml/2006/main" count="127" uniqueCount="113">
  <si>
    <t xml:space="preserve">DAY</t>
  </si>
  <si>
    <t xml:space="preserve">日期</t>
  </si>
  <si>
    <t xml:space="preserve">內容</t>
  </si>
  <si>
    <t xml:space="preserve">交通方式</t>
  </si>
  <si>
    <t xml:space="preserve">起 → 訖</t>
  </si>
  <si>
    <t xml:space="preserve">出發–到達</t>
  </si>
  <si>
    <r>
      <rPr>
        <b val="true"/>
        <sz val="11"/>
        <color rgb="FFFFFFFF"/>
        <rFont val="DejaVu Sans"/>
        <family val="2"/>
      </rPr>
      <t xml:space="preserve">車程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里程</t>
    </r>
  </si>
  <si>
    <t xml:space="preserve">費用</t>
  </si>
  <si>
    <r>
      <rPr>
        <b val="true"/>
        <sz val="11"/>
        <color rgb="FFFFFFFF"/>
        <rFont val="DejaVu Sans"/>
        <family val="2"/>
      </rPr>
      <t xml:space="preserve">電話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預約編號</t>
    </r>
  </si>
  <si>
    <r>
      <rPr>
        <b val="true"/>
        <sz val="11"/>
        <color rgb="FFFFFFFF"/>
        <rFont val="DejaVu Sans"/>
        <family val="2"/>
      </rPr>
      <t xml:space="preserve">地址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網址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備註</t>
    </r>
  </si>
  <si>
    <r>
      <rPr>
        <sz val="10"/>
        <rFont val="Microsoft JhengHei"/>
        <family val="0"/>
        <charset val="1"/>
      </rPr>
      <t xml:space="preserve">8/7 (</t>
    </r>
    <r>
      <rPr>
        <sz val="10"/>
        <rFont val="DejaVu Sans"/>
        <family val="2"/>
      </rPr>
      <t xml:space="preserve">三</t>
    </r>
    <r>
      <rPr>
        <sz val="10"/>
        <rFont val="Microsoft JhengHei"/>
        <family val="0"/>
        <charset val="1"/>
      </rPr>
      <t xml:space="preserve">)</t>
    </r>
  </si>
  <si>
    <t xml:space="preserve">臺北 → 阿姆斯特丹</t>
  </si>
  <si>
    <t xml:space="preserve">CI73</t>
  </si>
  <si>
    <t xml:space="preserve">TPE → AMS</t>
  </si>
  <si>
    <t xml:space="preserve">00:10–07:40</t>
  </si>
  <si>
    <t xml:space="preserve">直飛</t>
  </si>
  <si>
    <r>
      <rPr>
        <sz val="10"/>
        <rFont val="DejaVu Sans"/>
        <family val="2"/>
      </rPr>
      <t xml:space="preserve">訂位 </t>
    </r>
    <r>
      <rPr>
        <sz val="10"/>
        <rFont val="DejaVu Sans"/>
        <family val="2"/>
        <charset val="1"/>
      </rPr>
      <t xml:space="preserve">2410859236</t>
    </r>
  </si>
  <si>
    <r>
      <rPr>
        <sz val="10"/>
        <rFont val="Microsoft JhengHei"/>
        <family val="0"/>
        <charset val="1"/>
      </rPr>
      <t xml:space="preserve">T2 </t>
    </r>
    <r>
      <rPr>
        <sz val="10"/>
        <rFont val="DejaVu Sans"/>
        <family val="2"/>
      </rPr>
      <t xml:space="preserve">出發</t>
    </r>
  </si>
  <si>
    <t xml:space="preserve">阿姆斯特丹 → 科隆</t>
  </si>
  <si>
    <t xml:space="preserve">ICE 155</t>
  </si>
  <si>
    <t xml:space="preserve">Amsterdam CS → Köln Hbf</t>
  </si>
  <si>
    <t xml:space="preserve">11:38–15:22</t>
  </si>
  <si>
    <r>
      <rPr>
        <sz val="10"/>
        <rFont val="DejaVu Sans"/>
        <family val="2"/>
      </rPr>
      <t xml:space="preserve">約</t>
    </r>
    <r>
      <rPr>
        <sz val="10"/>
        <rFont val="DejaVu Sans"/>
        <family val="2"/>
        <charset val="1"/>
      </rPr>
      <t xml:space="preserve">2h40m·11</t>
    </r>
    <r>
      <rPr>
        <sz val="10"/>
        <rFont val="DejaVu Sans"/>
        <family val="2"/>
      </rPr>
      <t xml:space="preserve">號月台</t>
    </r>
  </si>
  <si>
    <r>
      <rPr>
        <sz val="10"/>
        <rFont val="DejaVu Sans"/>
        <family val="2"/>
      </rPr>
      <t xml:space="preserve">訂位 </t>
    </r>
    <r>
      <rPr>
        <sz val="10"/>
        <rFont val="DejaVu Sans"/>
        <family val="2"/>
        <charset val="1"/>
      </rPr>
      <t xml:space="preserve">XXXXXX</t>
    </r>
  </si>
  <si>
    <t xml:space="preserve">上車前確認月台變更</t>
  </si>
  <si>
    <t xml:space="preserve">科隆大教堂、路德維希美術館</t>
  </si>
  <si>
    <t xml:space="preserve">步行</t>
  </si>
  <si>
    <t xml:space="preserve">€11</t>
  </si>
  <si>
    <t xml:space="preserve">美術館週一休</t>
  </si>
  <si>
    <r>
      <rPr>
        <sz val="10"/>
        <rFont val="DejaVu Sans"/>
        <family val="2"/>
      </rPr>
      <t xml:space="preserve">【宿】</t>
    </r>
    <r>
      <rPr>
        <sz val="10"/>
        <rFont val="DejaVu Sans"/>
        <family val="2"/>
        <charset val="1"/>
      </rPr>
      <t xml:space="preserve">CityClass Hotel Europa</t>
    </r>
  </si>
  <si>
    <t xml:space="preserve">€120</t>
  </si>
  <si>
    <r>
      <rPr>
        <sz val="10"/>
        <rFont val="Microsoft JhengHei"/>
        <family val="0"/>
        <charset val="1"/>
      </rPr>
      <t xml:space="preserve">+49 221 XXXX·</t>
    </r>
    <r>
      <rPr>
        <sz val="10"/>
        <rFont val="DejaVu Sans"/>
        <family val="2"/>
      </rPr>
      <t xml:space="preserve">訂房 </t>
    </r>
    <r>
      <rPr>
        <sz val="10"/>
        <rFont val="Microsoft JhengHei"/>
        <family val="0"/>
        <charset val="1"/>
      </rPr>
      <t xml:space="preserve">#12345</t>
    </r>
  </si>
  <si>
    <t xml:space="preserve">Am Hof 38-46, Altstadt</t>
  </si>
  <si>
    <r>
      <rPr>
        <sz val="10"/>
        <rFont val="Microsoft JhengHei"/>
        <family val="0"/>
        <charset val="1"/>
      </rPr>
      <t xml:space="preserve">9/2 (</t>
    </r>
    <r>
      <rPr>
        <sz val="10"/>
        <rFont val="DejaVu Sans"/>
        <family val="2"/>
      </rPr>
      <t xml:space="preserve">六</t>
    </r>
    <r>
      <rPr>
        <sz val="10"/>
        <rFont val="Microsoft JhengHei"/>
        <family val="0"/>
        <charset val="1"/>
      </rPr>
      <t xml:space="preserve">)</t>
    </r>
  </si>
  <si>
    <t xml:space="preserve">中尊寺、毛越寺</t>
  </si>
  <si>
    <t xml:space="preserve">自駕</t>
  </si>
  <si>
    <t xml:space="preserve">一關 → 平泉</t>
  </si>
  <si>
    <t xml:space="preserve">8km·15min</t>
  </si>
  <si>
    <r>
      <rPr>
        <sz val="10"/>
        <rFont val="DejaVu Sans"/>
        <family val="2"/>
      </rPr>
      <t xml:space="preserve">拜觀 </t>
    </r>
    <r>
      <rPr>
        <sz val="10"/>
        <rFont val="DejaVu Sans"/>
        <family val="2"/>
        <charset val="1"/>
      </rPr>
      <t xml:space="preserve">¥800</t>
    </r>
  </si>
  <si>
    <t xml:space="preserve">+81 191-46-2211</t>
  </si>
  <si>
    <r>
      <rPr>
        <sz val="10"/>
        <rFont val="Microsoft JhengHei"/>
        <family val="0"/>
        <charset val="1"/>
      </rPr>
      <t xml:space="preserve">8:30 </t>
    </r>
    <r>
      <rPr>
        <sz val="10"/>
        <rFont val="DejaVu Sans"/>
        <family val="2"/>
      </rPr>
      <t xml:space="preserve">開門，早去避團客</t>
    </r>
  </si>
  <si>
    <r>
      <rPr>
        <sz val="10"/>
        <rFont val="DejaVu Sans"/>
        <family val="2"/>
      </rPr>
      <t xml:space="preserve">猊鼻溪遊船 </t>
    </r>
    <r>
      <rPr>
        <sz val="10"/>
        <rFont val="DejaVu Sans"/>
        <family val="2"/>
        <charset val="1"/>
      </rPr>
      <t xml:space="preserve">09:30 </t>
    </r>
    <r>
      <rPr>
        <sz val="10"/>
        <rFont val="DejaVu Sans"/>
        <family val="2"/>
      </rPr>
      <t xml:space="preserve">場次</t>
    </r>
  </si>
  <si>
    <t xml:space="preserve">平泉 → 猊鼻溪</t>
  </si>
  <si>
    <t xml:space="preserve">20km·30min</t>
  </si>
  <si>
    <t xml:space="preserve">¥1,800</t>
  </si>
  <si>
    <r>
      <rPr>
        <sz val="10"/>
        <rFont val="Microsoft JhengHei"/>
        <family val="0"/>
        <charset val="1"/>
      </rPr>
      <t xml:space="preserve">kkday </t>
    </r>
    <r>
      <rPr>
        <sz val="10"/>
        <rFont val="DejaVu Sans"/>
        <family val="2"/>
      </rPr>
      <t xml:space="preserve">訂單 </t>
    </r>
    <r>
      <rPr>
        <sz val="10"/>
        <rFont val="Microsoft JhengHei"/>
        <family val="0"/>
        <charset val="1"/>
      </rPr>
      <t xml:space="preserve">#XXXX</t>
    </r>
  </si>
  <si>
    <r>
      <rPr>
        <sz val="10"/>
        <rFont val="DejaVu Sans"/>
        <family val="2"/>
      </rPr>
      <t xml:space="preserve">船程 </t>
    </r>
    <r>
      <rPr>
        <sz val="10"/>
        <rFont val="DejaVu Sans"/>
        <family val="2"/>
        <charset val="1"/>
      </rPr>
      <t xml:space="preserve">1.5h</t>
    </r>
  </si>
  <si>
    <t xml:space="preserve">移動：一關 → 八戶</t>
  </si>
  <si>
    <t xml:space="preserve">東北道</t>
  </si>
  <si>
    <t xml:space="preserve">251km·3h29m</t>
  </si>
  <si>
    <r>
      <rPr>
        <sz val="10"/>
        <rFont val="DejaVu Sans"/>
        <family val="2"/>
      </rPr>
      <t xml:space="preserve">過路費 </t>
    </r>
    <r>
      <rPr>
        <sz val="10"/>
        <rFont val="DejaVu Sans"/>
        <family val="2"/>
        <charset val="1"/>
      </rPr>
      <t xml:space="preserve">¥5,500</t>
    </r>
  </si>
  <si>
    <r>
      <rPr>
        <sz val="10"/>
        <rFont val="DejaVu Sans"/>
        <family val="2"/>
      </rPr>
      <t xml:space="preserve">途中休息站：岩手山</t>
    </r>
    <r>
      <rPr>
        <sz val="10"/>
        <rFont val="DejaVu Sans"/>
        <family val="2"/>
        <charset val="1"/>
      </rPr>
      <t xml:space="preserve">SA</t>
    </r>
  </si>
  <si>
    <r>
      <rPr>
        <sz val="10"/>
        <rFont val="DejaVu Sans"/>
        <family val="2"/>
      </rPr>
      <t xml:space="preserve">【宿】</t>
    </r>
    <r>
      <rPr>
        <sz val="10"/>
        <rFont val="DejaVu Sans"/>
        <family val="2"/>
        <charset val="1"/>
      </rPr>
      <t xml:space="preserve">APA </t>
    </r>
    <r>
      <rPr>
        <sz val="10"/>
        <rFont val="DejaVu Sans"/>
        <family val="2"/>
      </rPr>
      <t xml:space="preserve">本八戶</t>
    </r>
  </si>
  <si>
    <t xml:space="preserve">¥8,800</t>
  </si>
  <si>
    <r>
      <rPr>
        <sz val="10"/>
        <rFont val="Microsoft JhengHei"/>
        <family val="0"/>
        <charset val="1"/>
      </rPr>
      <t xml:space="preserve">+81 178-73-2555·</t>
    </r>
    <r>
      <rPr>
        <sz val="10"/>
        <rFont val="DejaVu Sans"/>
        <family val="2"/>
      </rPr>
      <t xml:space="preserve">訂房 </t>
    </r>
    <r>
      <rPr>
        <sz val="10"/>
        <rFont val="Microsoft JhengHei"/>
        <family val="0"/>
        <charset val="1"/>
      </rPr>
      <t xml:space="preserve">#XXXX</t>
    </r>
  </si>
  <si>
    <r>
      <rPr>
        <sz val="10"/>
        <rFont val="DejaVu Sans"/>
        <family val="2"/>
      </rPr>
      <t xml:space="preserve">八戶市</t>
    </r>
    <r>
      <rPr>
        <sz val="10"/>
        <rFont val="DejaVu Sans"/>
        <family val="2"/>
        <charset val="1"/>
      </rPr>
      <t xml:space="preserve">XXX</t>
    </r>
    <r>
      <rPr>
        <sz val="10"/>
        <rFont val="DejaVu Sans"/>
        <family val="2"/>
      </rPr>
      <t xml:space="preserve">，含早餐</t>
    </r>
  </si>
  <si>
    <t xml:space="preserve">入住日</t>
  </si>
  <si>
    <t xml:space="preserve">晚數</t>
  </si>
  <si>
    <t xml:space="preserve">城市</t>
  </si>
  <si>
    <t xml:space="preserve">住宿名稱</t>
  </si>
  <si>
    <r>
      <rPr>
        <b val="true"/>
        <sz val="11"/>
        <color rgb="FFFFFFFF"/>
        <rFont val="DejaVu Sans"/>
        <family val="2"/>
      </rPr>
      <t xml:space="preserve">房型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備註</t>
    </r>
  </si>
  <si>
    <t xml:space="preserve">總金額</t>
  </si>
  <si>
    <t xml:space="preserve">幣別</t>
  </si>
  <si>
    <t xml:space="preserve">每人分攤</t>
  </si>
  <si>
    <r>
      <rPr>
        <b val="true"/>
        <sz val="11"/>
        <color rgb="FFFFFFFF"/>
        <rFont val="DejaVu Sans"/>
        <family val="2"/>
      </rPr>
      <t xml:space="preserve">訂房平台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編號</t>
    </r>
  </si>
  <si>
    <t xml:space="preserve">地址</t>
  </si>
  <si>
    <t xml:space="preserve">電話</t>
  </si>
  <si>
    <t xml:space="preserve">8/7</t>
  </si>
  <si>
    <t xml:space="preserve">科隆</t>
  </si>
  <si>
    <t xml:space="preserve">CityClass Hotel Europa</t>
  </si>
  <si>
    <t xml:space="preserve">雙人房含早</t>
  </si>
  <si>
    <t xml:space="preserve">EUR</t>
  </si>
  <si>
    <t xml:space="preserve">Booking #12345</t>
  </si>
  <si>
    <t xml:space="preserve">Am Hof 38-46</t>
  </si>
  <si>
    <t xml:space="preserve">+49 221 XXXX</t>
  </si>
  <si>
    <t xml:space="preserve">9/2</t>
  </si>
  <si>
    <t xml:space="preserve">八戶</t>
  </si>
  <si>
    <r>
      <rPr>
        <sz val="10"/>
        <rFont val="Microsoft JhengHei"/>
        <family val="0"/>
        <charset val="1"/>
      </rPr>
      <t xml:space="preserve">APA </t>
    </r>
    <r>
      <rPr>
        <sz val="10"/>
        <rFont val="DejaVu Sans"/>
        <family val="2"/>
      </rPr>
      <t xml:space="preserve">本八戶</t>
    </r>
  </si>
  <si>
    <t xml:space="preserve">雙床禁菸</t>
  </si>
  <si>
    <t xml:space="preserve">JPY</t>
  </si>
  <si>
    <t xml:space="preserve">Agoda #XXXX</t>
  </si>
  <si>
    <r>
      <rPr>
        <sz val="10"/>
        <rFont val="DejaVu Sans"/>
        <family val="2"/>
      </rPr>
      <t xml:space="preserve">八戶市</t>
    </r>
    <r>
      <rPr>
        <sz val="10"/>
        <rFont val="DejaVu Sans"/>
        <family val="2"/>
        <charset val="1"/>
      </rPr>
      <t xml:space="preserve">XXX</t>
    </r>
  </si>
  <si>
    <t xml:space="preserve">+81 178-73-2555</t>
  </si>
  <si>
    <r>
      <rPr>
        <b val="true"/>
        <sz val="11"/>
        <color rgb="FFFFFFFF"/>
        <rFont val="DejaVu Sans"/>
        <family val="2"/>
      </rPr>
      <t xml:space="preserve">航班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車種</t>
    </r>
  </si>
  <si>
    <r>
      <rPr>
        <b val="true"/>
        <sz val="11"/>
        <color rgb="FFFFFFFF"/>
        <rFont val="DejaVu Sans"/>
        <family val="2"/>
      </rPr>
      <t xml:space="preserve">票價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每人</t>
    </r>
  </si>
  <si>
    <t xml:space="preserve">訂位代號</t>
  </si>
  <si>
    <t xml:space="preserve">備註</t>
  </si>
  <si>
    <t xml:space="preserve">2410859236</t>
  </si>
  <si>
    <r>
      <rPr>
        <sz val="10"/>
        <rFont val="DejaVu Sans"/>
        <family val="2"/>
      </rPr>
      <t xml:space="preserve">含行李 </t>
    </r>
    <r>
      <rPr>
        <sz val="10"/>
        <rFont val="DejaVu Sans"/>
        <family val="2"/>
        <charset val="1"/>
      </rPr>
      <t xml:space="preserve">23kg×2</t>
    </r>
  </si>
  <si>
    <t xml:space="preserve">XXXXXX</t>
  </si>
  <si>
    <r>
      <rPr>
        <sz val="10"/>
        <rFont val="Microsoft JhengHei"/>
        <family val="0"/>
        <charset val="1"/>
      </rPr>
      <t xml:space="preserve">DB App </t>
    </r>
    <r>
      <rPr>
        <sz val="10"/>
        <rFont val="DejaVu Sans"/>
        <family val="2"/>
      </rPr>
      <t xml:space="preserve">出示 </t>
    </r>
    <r>
      <rPr>
        <sz val="10"/>
        <rFont val="Microsoft JhengHei"/>
        <family val="0"/>
        <charset val="1"/>
      </rPr>
      <t xml:space="preserve">QR</t>
    </r>
  </si>
  <si>
    <t xml:space="preserve">項目</t>
  </si>
  <si>
    <r>
      <rPr>
        <b val="true"/>
        <sz val="11"/>
        <color rgb="FFFFFFFF"/>
        <rFont val="DejaVu Sans"/>
        <family val="2"/>
      </rPr>
      <t xml:space="preserve">總金額</t>
    </r>
    <r>
      <rPr>
        <b val="true"/>
        <sz val="11"/>
        <color rgb="FFFFFFFF"/>
        <rFont val="DejaVu Sans"/>
        <family val="2"/>
        <charset val="1"/>
      </rPr>
      <t xml:space="preserve">(TWD)</t>
    </r>
  </si>
  <si>
    <r>
      <rPr>
        <b val="true"/>
        <sz val="11"/>
        <color rgb="FFFFFFFF"/>
        <rFont val="DejaVu Sans"/>
        <family val="2"/>
      </rPr>
      <t xml:space="preserve">每人</t>
    </r>
    <r>
      <rPr>
        <b val="true"/>
        <sz val="11"/>
        <color rgb="FFFFFFFF"/>
        <rFont val="DejaVu Sans"/>
        <family val="2"/>
        <charset val="1"/>
      </rPr>
      <t xml:space="preserve">(TWD)</t>
    </r>
  </si>
  <si>
    <t xml:space="preserve">機票</t>
  </si>
  <si>
    <t xml:space="preserve">來源：航空公司官網，查詢日期填這</t>
  </si>
  <si>
    <t xml:space="preserve">住宿</t>
  </si>
  <si>
    <t xml:space="preserve">自「住宿」分頁加總</t>
  </si>
  <si>
    <r>
      <rPr>
        <sz val="10"/>
        <rFont val="DejaVu Sans"/>
        <family val="2"/>
      </rPr>
      <t xml:space="preserve">租車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油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過路</t>
    </r>
  </si>
  <si>
    <t xml:space="preserve">鐵路票券</t>
  </si>
  <si>
    <r>
      <rPr>
        <sz val="10"/>
        <rFont val="DejaVu Sans"/>
        <family val="2"/>
      </rPr>
      <t xml:space="preserve">門票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體驗</t>
    </r>
  </si>
  <si>
    <t xml:space="preserve">餐飲雜支</t>
  </si>
  <si>
    <t xml:space="preserve">合計</t>
  </si>
  <si>
    <t xml:space="preserve">通用行程總表範本——自駕與鐵路共用</t>
  </si>
  <si>
    <r>
      <rPr>
        <sz val="11"/>
        <rFont val="Microsoft JhengHei"/>
        <family val="0"/>
        <charset val="1"/>
      </rPr>
      <t xml:space="preserve">Schedule </t>
    </r>
    <r>
      <rPr>
        <sz val="11"/>
        <rFont val="DejaVu Sans"/>
        <family val="2"/>
      </rPr>
      <t xml:space="preserve">分頁欄位邏輯：</t>
    </r>
  </si>
  <si>
    <r>
      <rPr>
        <sz val="11"/>
        <rFont val="DejaVu Sans"/>
        <family val="2"/>
      </rPr>
      <t xml:space="preserve">・交通方式：鐵路填車種班次（</t>
    </r>
    <r>
      <rPr>
        <sz val="11"/>
        <rFont val="DejaVu Sans"/>
        <family val="2"/>
        <charset val="1"/>
      </rPr>
      <t xml:space="preserve">ICE 155</t>
    </r>
    <r>
      <rPr>
        <sz val="11"/>
        <rFont val="DejaVu Sans"/>
        <family val="2"/>
      </rPr>
      <t xml:space="preserve">）、自駕填「自駕」、市區填步行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地鐵</t>
    </r>
  </si>
  <si>
    <t xml:space="preserve">・起 → 訖：鐵路填車站全名（上車不會錯）；自駕填地點即可</t>
  </si>
  <si>
    <t xml:space="preserve">・出發–到達：鐵路必填（含轉乘各段）；自駕通常留空</t>
  </si>
  <si>
    <r>
      <rPr>
        <sz val="11"/>
        <rFont val="DejaVu Sans"/>
        <family val="2"/>
      </rPr>
      <t xml:space="preserve">・車程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里程：自駕必填（</t>
    </r>
    <r>
      <rPr>
        <sz val="11"/>
        <rFont val="DejaVu Sans"/>
        <family val="2"/>
        <charset val="1"/>
      </rPr>
      <t xml:space="preserve">251km·3h29m</t>
    </r>
    <r>
      <rPr>
        <sz val="11"/>
        <rFont val="DejaVu Sans"/>
        <family val="2"/>
      </rPr>
      <t xml:space="preserve">）；鐵路可填總時間與月台</t>
    </r>
  </si>
  <si>
    <r>
      <rPr>
        <sz val="11"/>
        <rFont val="DejaVu Sans"/>
        <family val="2"/>
      </rPr>
      <t xml:space="preserve">・每天第一列填 </t>
    </r>
    <r>
      <rPr>
        <sz val="11"/>
        <rFont val="DejaVu Sans"/>
        <family val="2"/>
        <charset val="1"/>
      </rPr>
      <t xml:space="preserve">DAY </t>
    </r>
    <r>
      <rPr>
        <sz val="11"/>
        <rFont val="DejaVu Sans"/>
        <family val="2"/>
      </rPr>
      <t xml:space="preserve">與日期（淺藍底）；每天最後一列為當晚住宿（黃底，【宿】開頭）</t>
    </r>
  </si>
  <si>
    <r>
      <rPr>
        <sz val="11"/>
        <rFont val="DejaVu Sans"/>
        <family val="2"/>
      </rPr>
      <t xml:space="preserve">・住宿列的電話</t>
    </r>
    <r>
      <rPr>
        <sz val="11"/>
        <rFont val="DejaVu Sans"/>
        <family val="2"/>
        <charset val="1"/>
      </rPr>
      <t xml:space="preserve">/</t>
    </r>
    <r>
      <rPr>
        <sz val="11"/>
        <rFont val="DejaVu Sans"/>
        <family val="2"/>
      </rPr>
      <t xml:space="preserve">預約編號、地址必填——旅途中最常查的就是這兩個</t>
    </r>
  </si>
  <si>
    <t xml:space="preserve">其他分頁：住宿（含每人分攤公式）、機票交通（大段交通集中）、預算（每人金額公式）</t>
  </si>
  <si>
    <t xml:space="preserve">手機閱讀：重要資訊靠左前三欄，凍結首列，欄寬已調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</si>
</sst>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icrosoft JhengHei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sz val="10"/>
      <name val="Microsoft JhengHei"/>
      <family val="0"/>
      <charset val="1"/>
    </font>
    <font>
      <sz val="10"/>
      <name val="DejaVu Sans"/>
      <family val="2"/>
    </font>
    <font>
      <sz val="10"/>
      <name val="DejaVu Sans"/>
      <family val="2"/>
      <charset val="1"/>
    </font>
    <font>
      <b val="true"/>
      <sz val="10"/>
      <name val="DejaVu Sans"/>
      <family val="2"/>
    </font>
    <font>
      <b val="true"/>
      <sz val="11"/>
      <name val="DejaVu Sans"/>
      <family val="2"/>
    </font>
    <font>
      <sz val="11"/>
      <name val="Microsoft JhengHei"/>
      <family val="0"/>
      <charset val="1"/>
    </font>
    <font>
      <sz val="11"/>
      <name val="DejaVu Sans"/>
      <family val="2"/>
    </font>
    <font>
      <sz val="11"/>
      <name val="DejaVu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20"/>
    <col collapsed="false" customWidth="true" hidden="false" outlineLevel="0" max="10" min="10" style="1" width="28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true" outlineLevel="0" collapsed="false">
      <c r="A2" s="4" t="n">
        <v>1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4"/>
      <c r="I2" s="5" t="s">
        <v>16</v>
      </c>
      <c r="J2" s="4" t="s">
        <v>17</v>
      </c>
    </row>
    <row r="3" customFormat="false" ht="23.25" hidden="false" customHeight="true" outlineLevel="0" collapsed="false">
      <c r="A3" s="6"/>
      <c r="B3" s="6"/>
      <c r="C3" s="7" t="s">
        <v>18</v>
      </c>
      <c r="D3" s="6" t="s">
        <v>19</v>
      </c>
      <c r="E3" s="6" t="s">
        <v>20</v>
      </c>
      <c r="F3" s="6" t="s">
        <v>21</v>
      </c>
      <c r="G3" s="7" t="s">
        <v>22</v>
      </c>
      <c r="H3" s="6"/>
      <c r="I3" s="7" t="s">
        <v>23</v>
      </c>
      <c r="J3" s="7" t="s">
        <v>24</v>
      </c>
    </row>
    <row r="4" customFormat="false" ht="15" hidden="false" customHeight="true" outlineLevel="0" collapsed="false">
      <c r="A4" s="6"/>
      <c r="B4" s="6"/>
      <c r="C4" s="7" t="s">
        <v>25</v>
      </c>
      <c r="D4" s="7" t="s">
        <v>26</v>
      </c>
      <c r="E4" s="6"/>
      <c r="F4" s="6"/>
      <c r="G4" s="6"/>
      <c r="H4" s="6" t="s">
        <v>27</v>
      </c>
      <c r="I4" s="6"/>
      <c r="J4" s="7" t="s">
        <v>28</v>
      </c>
    </row>
    <row r="5" customFormat="false" ht="23.25" hidden="false" customHeight="true" outlineLevel="0" collapsed="false">
      <c r="A5" s="8"/>
      <c r="B5" s="8"/>
      <c r="C5" s="9" t="s">
        <v>29</v>
      </c>
      <c r="D5" s="8"/>
      <c r="E5" s="8"/>
      <c r="F5" s="8"/>
      <c r="G5" s="8"/>
      <c r="H5" s="8" t="s">
        <v>30</v>
      </c>
      <c r="I5" s="8" t="s">
        <v>31</v>
      </c>
      <c r="J5" s="8" t="s">
        <v>32</v>
      </c>
    </row>
    <row r="6" customFormat="false" ht="15" hidden="false" customHeight="true" outlineLevel="0" collapsed="false">
      <c r="A6" s="4" t="n">
        <v>2</v>
      </c>
      <c r="B6" s="4" t="s">
        <v>33</v>
      </c>
      <c r="C6" s="5" t="s">
        <v>34</v>
      </c>
      <c r="D6" s="5" t="s">
        <v>35</v>
      </c>
      <c r="E6" s="5" t="s">
        <v>36</v>
      </c>
      <c r="F6" s="4"/>
      <c r="G6" s="4" t="s">
        <v>37</v>
      </c>
      <c r="H6" s="5" t="s">
        <v>38</v>
      </c>
      <c r="I6" s="4" t="s">
        <v>39</v>
      </c>
      <c r="J6" s="4" t="s">
        <v>40</v>
      </c>
    </row>
    <row r="7" customFormat="false" ht="15" hidden="false" customHeight="true" outlineLevel="0" collapsed="false">
      <c r="A7" s="6"/>
      <c r="B7" s="6"/>
      <c r="C7" s="7" t="s">
        <v>41</v>
      </c>
      <c r="D7" s="7" t="s">
        <v>35</v>
      </c>
      <c r="E7" s="7" t="s">
        <v>42</v>
      </c>
      <c r="F7" s="6"/>
      <c r="G7" s="6" t="s">
        <v>43</v>
      </c>
      <c r="H7" s="6" t="s">
        <v>44</v>
      </c>
      <c r="I7" s="6" t="s">
        <v>45</v>
      </c>
      <c r="J7" s="7" t="s">
        <v>46</v>
      </c>
    </row>
    <row r="8" customFormat="false" ht="23.25" hidden="false" customHeight="true" outlineLevel="0" collapsed="false">
      <c r="A8" s="6"/>
      <c r="B8" s="6"/>
      <c r="C8" s="7" t="s">
        <v>47</v>
      </c>
      <c r="D8" s="7" t="s">
        <v>35</v>
      </c>
      <c r="E8" s="7" t="s">
        <v>48</v>
      </c>
      <c r="F8" s="6"/>
      <c r="G8" s="6" t="s">
        <v>49</v>
      </c>
      <c r="H8" s="7" t="s">
        <v>50</v>
      </c>
      <c r="I8" s="6"/>
      <c r="J8" s="7" t="s">
        <v>51</v>
      </c>
    </row>
    <row r="9" customFormat="false" ht="23.25" hidden="false" customHeight="true" outlineLevel="0" collapsed="false">
      <c r="A9" s="8"/>
      <c r="B9" s="8"/>
      <c r="C9" s="9" t="s">
        <v>52</v>
      </c>
      <c r="D9" s="8"/>
      <c r="E9" s="8"/>
      <c r="F9" s="8"/>
      <c r="G9" s="8"/>
      <c r="H9" s="8" t="s">
        <v>53</v>
      </c>
      <c r="I9" s="8" t="s">
        <v>54</v>
      </c>
      <c r="J9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8"/>
    <col collapsed="false" customWidth="true" hidden="false" outlineLevel="0" max="10" min="10" style="1" width="24"/>
    <col collapsed="false" customWidth="true" hidden="false" outlineLevel="0" max="11" min="11" style="1" width="16"/>
  </cols>
  <sheetData>
    <row r="1" customFormat="false" ht="15" hidden="false" customHeight="true" outlineLevel="0" collapsed="false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</row>
    <row r="2" customFormat="false" ht="15" hidden="false" customHeight="true" outlineLevel="0" collapsed="false">
      <c r="A2" s="10" t="s">
        <v>67</v>
      </c>
      <c r="B2" s="10" t="n">
        <v>1</v>
      </c>
      <c r="C2" s="11" t="s">
        <v>68</v>
      </c>
      <c r="D2" s="10" t="s">
        <v>69</v>
      </c>
      <c r="E2" s="11" t="s">
        <v>70</v>
      </c>
      <c r="F2" s="10" t="n">
        <v>120</v>
      </c>
      <c r="G2" s="10" t="s">
        <v>71</v>
      </c>
      <c r="H2" s="10" t="n">
        <f aca="false">F2/2</f>
        <v>60</v>
      </c>
      <c r="I2" s="10" t="s">
        <v>72</v>
      </c>
      <c r="J2" s="10" t="s">
        <v>73</v>
      </c>
      <c r="K2" s="10" t="s">
        <v>74</v>
      </c>
    </row>
    <row r="3" customFormat="false" ht="15" hidden="false" customHeight="true" outlineLevel="0" collapsed="false">
      <c r="A3" s="10" t="s">
        <v>75</v>
      </c>
      <c r="B3" s="10" t="n">
        <v>1</v>
      </c>
      <c r="C3" s="11" t="s">
        <v>76</v>
      </c>
      <c r="D3" s="10" t="s">
        <v>77</v>
      </c>
      <c r="E3" s="11" t="s">
        <v>78</v>
      </c>
      <c r="F3" s="10" t="n">
        <v>8800</v>
      </c>
      <c r="G3" s="10" t="s">
        <v>79</v>
      </c>
      <c r="H3" s="10" t="n">
        <f aca="false">F3/2</f>
        <v>4400</v>
      </c>
      <c r="I3" s="10" t="s">
        <v>80</v>
      </c>
      <c r="J3" s="11" t="s">
        <v>81</v>
      </c>
      <c r="K3" s="10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24"/>
  </cols>
  <sheetData>
    <row r="1" customFormat="false" ht="15" hidden="false" customHeight="true" outlineLevel="0" collapsed="false">
      <c r="A1" s="3" t="s">
        <v>1</v>
      </c>
      <c r="B1" s="3" t="s">
        <v>83</v>
      </c>
      <c r="C1" s="3" t="s">
        <v>4</v>
      </c>
      <c r="D1" s="3" t="s">
        <v>5</v>
      </c>
      <c r="E1" s="3" t="s">
        <v>84</v>
      </c>
      <c r="F1" s="3" t="s">
        <v>85</v>
      </c>
      <c r="G1" s="3" t="s">
        <v>86</v>
      </c>
    </row>
    <row r="2" customFormat="false" ht="15" hidden="false" customHeight="true" outlineLevel="0" collapsed="false">
      <c r="A2" s="10" t="s">
        <v>67</v>
      </c>
      <c r="B2" s="10" t="s">
        <v>12</v>
      </c>
      <c r="C2" s="10" t="s">
        <v>13</v>
      </c>
      <c r="D2" s="10" t="s">
        <v>14</v>
      </c>
      <c r="E2" s="10" t="n">
        <v>29310</v>
      </c>
      <c r="F2" s="10" t="s">
        <v>87</v>
      </c>
      <c r="G2" s="11" t="s">
        <v>88</v>
      </c>
    </row>
    <row r="3" customFormat="false" ht="15" hidden="false" customHeight="true" outlineLevel="0" collapsed="false">
      <c r="A3" s="10" t="s">
        <v>67</v>
      </c>
      <c r="B3" s="10" t="s">
        <v>19</v>
      </c>
      <c r="C3" s="10" t="s">
        <v>20</v>
      </c>
      <c r="D3" s="10" t="s">
        <v>21</v>
      </c>
      <c r="E3" s="10" t="n">
        <v>1800</v>
      </c>
      <c r="F3" s="10" t="s">
        <v>89</v>
      </c>
      <c r="G3" s="1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40"/>
  </cols>
  <sheetData>
    <row r="1" customFormat="false" ht="27.75" hidden="false" customHeight="true" outlineLevel="0" collapsed="false">
      <c r="A1" s="3" t="s">
        <v>91</v>
      </c>
      <c r="B1" s="3" t="s">
        <v>92</v>
      </c>
      <c r="C1" s="3" t="s">
        <v>93</v>
      </c>
      <c r="D1" s="3" t="s">
        <v>86</v>
      </c>
    </row>
    <row r="2" customFormat="false" ht="15" hidden="false" customHeight="true" outlineLevel="0" collapsed="false">
      <c r="A2" s="11" t="s">
        <v>94</v>
      </c>
      <c r="B2" s="10" t="n">
        <v>58620</v>
      </c>
      <c r="C2" s="10" t="n">
        <f aca="false">B2/2</f>
        <v>29310</v>
      </c>
      <c r="D2" s="11" t="s">
        <v>95</v>
      </c>
    </row>
    <row r="3" customFormat="false" ht="15" hidden="false" customHeight="true" outlineLevel="0" collapsed="false">
      <c r="A3" s="11" t="s">
        <v>96</v>
      </c>
      <c r="B3" s="10" t="n">
        <v>0</v>
      </c>
      <c r="C3" s="10" t="n">
        <f aca="false">B3/2</f>
        <v>0</v>
      </c>
      <c r="D3" s="11" t="s">
        <v>97</v>
      </c>
    </row>
    <row r="4" customFormat="false" ht="15" hidden="false" customHeight="true" outlineLevel="0" collapsed="false">
      <c r="A4" s="11" t="s">
        <v>98</v>
      </c>
      <c r="B4" s="10" t="n">
        <v>0</v>
      </c>
      <c r="C4" s="10" t="n">
        <f aca="false">B4/2</f>
        <v>0</v>
      </c>
      <c r="D4" s="10"/>
    </row>
    <row r="5" customFormat="false" ht="15" hidden="false" customHeight="true" outlineLevel="0" collapsed="false">
      <c r="A5" s="11" t="s">
        <v>99</v>
      </c>
      <c r="B5" s="10" t="n">
        <v>0</v>
      </c>
      <c r="C5" s="10" t="n">
        <f aca="false">B5/2</f>
        <v>0</v>
      </c>
      <c r="D5" s="10"/>
    </row>
    <row r="6" customFormat="false" ht="15" hidden="false" customHeight="true" outlineLevel="0" collapsed="false">
      <c r="A6" s="11" t="s">
        <v>100</v>
      </c>
      <c r="B6" s="10" t="n">
        <v>0</v>
      </c>
      <c r="C6" s="10" t="n">
        <f aca="false">B6/2</f>
        <v>0</v>
      </c>
      <c r="D6" s="10"/>
    </row>
    <row r="7" customFormat="false" ht="15" hidden="false" customHeight="true" outlineLevel="0" collapsed="false">
      <c r="A7" s="11" t="s">
        <v>101</v>
      </c>
      <c r="B7" s="10" t="n">
        <v>0</v>
      </c>
      <c r="C7" s="10" t="n">
        <f aca="false">B7/2</f>
        <v>0</v>
      </c>
      <c r="D7" s="10"/>
    </row>
    <row r="8" customFormat="false" ht="15" hidden="false" customHeight="true" outlineLevel="0" collapsed="false">
      <c r="A8" s="12" t="s">
        <v>102</v>
      </c>
      <c r="B8" s="12" t="n">
        <f aca="false">SUM(B2:B7)</f>
        <v>58620</v>
      </c>
      <c r="C8" s="12" t="n">
        <f aca="false">SUM(C2:C7)</f>
        <v>29310</v>
      </c>
      <c r="D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5" hidden="false" customHeight="true" outlineLevel="0" collapsed="false">
      <c r="A1" s="13" t="s">
        <v>103</v>
      </c>
    </row>
    <row r="2" customFormat="false" ht="15" hidden="false" customHeight="true" outlineLevel="0" collapsed="false">
      <c r="A2" s="14"/>
    </row>
    <row r="3" customFormat="false" ht="14.25" hidden="false" customHeight="true" outlineLevel="0" collapsed="false">
      <c r="A3" s="14" t="s">
        <v>104</v>
      </c>
    </row>
    <row r="4" customFormat="false" ht="14.25" hidden="false" customHeight="true" outlineLevel="0" collapsed="false">
      <c r="A4" s="15" t="s">
        <v>105</v>
      </c>
    </row>
    <row r="5" customFormat="false" ht="15" hidden="false" customHeight="true" outlineLevel="0" collapsed="false">
      <c r="A5" s="15" t="s">
        <v>106</v>
      </c>
    </row>
    <row r="6" customFormat="false" ht="15" hidden="false" customHeight="true" outlineLevel="0" collapsed="false">
      <c r="A6" s="15" t="s">
        <v>107</v>
      </c>
    </row>
    <row r="7" customFormat="false" ht="14.25" hidden="false" customHeight="true" outlineLevel="0" collapsed="false">
      <c r="A7" s="15" t="s">
        <v>108</v>
      </c>
    </row>
    <row r="8" customFormat="false" ht="14.25" hidden="false" customHeight="true" outlineLevel="0" collapsed="false">
      <c r="A8" s="15" t="s">
        <v>109</v>
      </c>
    </row>
    <row r="9" customFormat="false" ht="14.25" hidden="false" customHeight="true" outlineLevel="0" collapsed="false">
      <c r="A9" s="15" t="s">
        <v>110</v>
      </c>
    </row>
    <row r="10" customFormat="false" ht="15" hidden="false" customHeight="true" outlineLevel="0" collapsed="false">
      <c r="A10" s="14"/>
    </row>
    <row r="11" customFormat="false" ht="15" hidden="false" customHeight="true" outlineLevel="0" collapsed="false">
      <c r="A11" s="15" t="s">
        <v>111</v>
      </c>
    </row>
    <row r="12" customFormat="false" ht="15" hidden="false" customHeight="true" outlineLevel="0" collapsed="false">
      <c r="A12" s="1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2026-06-10T08:36:50Z</dcterms:created>
  <dc:creator>openpyxl</dc:creator>
  <dc:description/>
  <dc:language>en-US</dc:language>
  <cp:lastModifiedBy/>
  <dcterms:modified xsi:type="dcterms:W3CDTF">2026-06-10T08:37:14Z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